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270" documentId="11_F9C8E750BC5A4780F0AC0B6737F18CEE6FB2ED55" xr6:coauthVersionLast="47" xr6:coauthVersionMax="47" xr10:uidLastSave="{AEC17C80-16CA-4C7E-8A07-1EABA4B085B7}"/>
  <bookViews>
    <workbookView xWindow="-108" yWindow="-108" windowWidth="23256" windowHeight="1245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<sst xmlns="http://schemas.openxmlformats.org/spreadsheetml/2006/main" count="302" uniqueCount="161">
  <si>
    <t>Accepté</t>
  </si>
  <si>
    <t>Refusé</t>
  </si>
  <si>
    <t>Numéro de candidature</t>
  </si>
  <si>
    <t>Nom de l'entreprise</t>
  </si>
  <si>
    <t xml:space="preserve">Date de la candidature </t>
  </si>
  <si>
    <t xml:space="preserve">Nom du Poste </t>
  </si>
  <si>
    <t>URL offre</t>
  </si>
  <si>
    <t xml:space="preserve">Statut de la candidature </t>
  </si>
  <si>
    <t xml:space="preserve">Contact </t>
  </si>
  <si>
    <t>Date de relance</t>
  </si>
  <si>
    <t>Notes</t>
  </si>
  <si>
    <t>Data Analyst</t>
  </si>
  <si>
    <t>À envoyer</t>
  </si>
  <si>
    <t>Postulé</t>
  </si>
  <si>
    <t>Swiss Life</t>
  </si>
  <si>
    <t>https://swisslife.wd3.myworkdayjobs.com/en-US/Swiss_Life_Division_France_Career_Site/job/Puteaux/Data-analyst-F-H_R12006?locations=4a0059ea907310018afcbdba79080000&amp;locations=17365b4040231001f5d717a844ca0000&amp;locations=17365b4040231001f59f68e7fdc00000</t>
  </si>
  <si>
    <t>C:\Users\HamzaRIABI\OneDrive - STARTUM CFA\Bureau\JOB\cv-gen\output\swiss-life-2026-05-12</t>
  </si>
  <si>
    <t>12/05/2026 21:52</t>
  </si>
  <si>
    <t>12/05/2026 23:01</t>
  </si>
  <si>
    <t>Chargé(e) de reporting opérationnel</t>
  </si>
  <si>
    <t>https://swisslife.wd3.myworkdayjobs.com/en-US/Swiss_Life_Division_France_Career_Site/job/Roubaix/Charg-e--de-report-oprationnel_R12328?locations=4a0059ea907310018afcbdba79080000&amp;locations=17365b4040231001f5d717a844ca0000&amp;locations=17365b4040231001f59f68e7fdc00000</t>
  </si>
  <si>
    <t>C:\Users\HamzaRIABI\OneDrive - STARTUM CFA\Bureau\JOB\cv-gen\output\swiss-life-charg-e-de-reporting-op-ration-2026-05-12</t>
  </si>
  <si>
    <t>Banque (Non précisée)</t>
  </si>
  <si>
    <t>Business Analyst / Chef de Projet Data</t>
  </si>
  <si>
    <t>C:\Users\HamzaRIABI\OneDrive - STARTUM CFA\Bureau\JOB\cv-gen\output\banque-non-pr-cis-e-business-analyst-chef-de-proje-2026-05-13</t>
  </si>
  <si>
    <t>13/05/2026 20:01</t>
  </si>
  <si>
    <t>Safaa WAHID &lt;swahid@cfa-numia.fr&gt; Offres d’emploi – à votre disposition</t>
  </si>
  <si>
    <t xml:space="preserve">candidature envoyé par mail </t>
  </si>
  <si>
    <t>Crédit Mutuel Asset Management</t>
  </si>
  <si>
    <t>11/05/2026 23:55</t>
  </si>
  <si>
    <t>Data Analyst ESG</t>
  </si>
  <si>
    <t>https://fr.indeed.com/viewjob?jk=6c12cece766ae21a&amp;from=shareddesktop_copy</t>
  </si>
  <si>
    <t>cvhamzacréditmutuel</t>
  </si>
  <si>
    <t>Pigment</t>
  </si>
  <si>
    <t>Data Engineer (Growth Team)</t>
  </si>
  <si>
    <t>https://jobs.lever.co/pigment/0aede960-d9cd-45c1-92e4-82e3cb3b2ae2</t>
  </si>
  <si>
    <t>cv-hamza-pigment-2026-05-11</t>
  </si>
  <si>
    <t xml:space="preserve">Whub </t>
  </si>
  <si>
    <t>Data Analyst Anglais</t>
  </si>
  <si>
    <t>https://www.engagement-jeunes.com/fr/detail-offre/36682033/cdi-collective-work-data-analyst-anglais-h-f.html</t>
  </si>
  <si>
    <t>whub-2026-05-12</t>
  </si>
  <si>
    <t>C:\Users\HamzaRIABI\OneDrive - STARTUM CFA\Bureau\JOB\cv-gen\output\retail-group-international-data-scientist-analytics-engin-2026-05-13</t>
  </si>
  <si>
    <t>ALTEN</t>
  </si>
  <si>
    <t>https://www.engagement-jeunes.com/fr/detail-offre/36841852/cdi-alten-data-scientist-gcp-h-f.html</t>
  </si>
  <si>
    <t>14/05/2026 01:33</t>
  </si>
  <si>
    <t>Data Scientist</t>
  </si>
  <si>
    <t>Amundi</t>
  </si>
  <si>
    <t>14/05/2026 01:51</t>
  </si>
  <si>
    <t>Digital Marketing Officer</t>
  </si>
  <si>
    <t>C:\Users\HamzaRIABI\OneDrive - STARTUM CFA\Bureau\JOB\cv-gen\output\amundi-digital-marketing-officer-2026-05-13</t>
  </si>
  <si>
    <t>https://jobs.amundi.com/Pages/Offre/detailoffre.aspx?idOffre=108662&amp;idOrigine=514&amp;LCID=1036&amp;offerReference=2026-108662&amp;utm_source=engagement-jeunes&amp;utm_medium=engagement-jeunes</t>
  </si>
  <si>
    <t>https://groupecreditagricole.jobs/fr/nos-offres-emploi/577-170477-137--data-scientist-hf-reference--2025-107029--/</t>
  </si>
  <si>
    <t>https://groupecreditagricole.jobs/fr/nos-offres-emploi/577-170473-122-inspecteur-rice-data-hf-reference--2026-107237--/</t>
  </si>
  <si>
    <t>https://groupecreditagricole.jobs/fr/nos-offres-emploi/577-170473-122-inspecteur-rice-systemes-d-information-hf-reference--2026-107238--/</t>
  </si>
  <si>
    <t>https://groupecreditagricole.jobs/fr/nos-offres-emploi/577-170473-138-inspecteur-data-scientist--coordination-internationale-hf-reference--2025-102645--/</t>
  </si>
  <si>
    <t>https://groupecreditagricole.jobs/fr/nos-offres-emploi/577-170461-127-client-data-support-officer-hf-reference--2025-102207--/</t>
  </si>
  <si>
    <t>14/05/2026 01:52</t>
  </si>
  <si>
    <t>14/05/2026 01:53</t>
  </si>
  <si>
    <t>14/05/2026 01:54</t>
  </si>
  <si>
    <t>14/05/2026 01:55</t>
  </si>
  <si>
    <t>14/05/2026 01:56</t>
  </si>
  <si>
    <t>Crédit Agricole</t>
  </si>
  <si>
    <t>inspecteur data</t>
  </si>
  <si>
    <t>inspecteur SI</t>
  </si>
  <si>
    <t>Data support</t>
  </si>
  <si>
    <t>Artelia</t>
  </si>
  <si>
    <t>Responsable Application SI RH - Domaine Formation F/H</t>
  </si>
  <si>
    <t>https://jobs.smartrecruiters.com/Artelia/744000122174737-responsable-application-si-rh-domaine-formation-f-h?utm_source=engagement-jeunes&amp;utm_medium=engagement-jeunes</t>
  </si>
  <si>
    <t>C:\Users\HamzaRIABI\OneDrive - STARTUM CFA\Bureau\JOB\cv-gen\output\artelia-responsable-application-si-rh--2026-05-15</t>
  </si>
  <si>
    <t>16/05/2026 00:30</t>
  </si>
  <si>
    <t>Artik Consulting</t>
  </si>
  <si>
    <t>16/05/2026 00:41</t>
  </si>
  <si>
    <t>Consultant(e) Data Engineer (H/F)</t>
  </si>
  <si>
    <t>https://www.artik-consulting.com/offre/aebd202411</t>
  </si>
  <si>
    <t>C:\Users\HamzaRIABI\OneDrive - STARTUM CFA\Bureau\JOB\cv-gen\output\artik-consulting-consultant-e-data-engineer-h-f-2026-05-15</t>
  </si>
  <si>
    <t>DGTL Performance / Capgemini pour EDF</t>
  </si>
  <si>
    <t>Responsable technique</t>
  </si>
  <si>
    <t>https://www.jobposting.pro/emploi-2577130-128#postuler</t>
  </si>
  <si>
    <t>C:\Users\HamzaRIABI\OneDrive - STARTUM CFA\Bureau\JOB\cv-gen\output\dgtl-performance-capgemini-pour-edf-responsable-technique-2026-05-15</t>
  </si>
  <si>
    <t>16/05/2026 01:57</t>
  </si>
  <si>
    <t>FRAMATOME</t>
  </si>
  <si>
    <t>IMS Manager EPR2</t>
  </si>
  <si>
    <t>https://framatome-career.talent-soft.com/offre-de-emploi/emploi-ims-manager-epr2-f-h_26343.aspx</t>
  </si>
  <si>
    <t>C:\Users\HamzaRIABI\OneDrive - STARTUM CFA\Bureau\JOB\cv-gen\output\framatome-ims-manager-epr2-2026-05-16</t>
  </si>
  <si>
    <t>16/05/2026 02:23</t>
  </si>
  <si>
    <t>KAINO</t>
  </si>
  <si>
    <t>Data Platform Product Manager (H/F)</t>
  </si>
  <si>
    <t>https://www.engagement-jeunes.com/fr/detail-offre/36467179/cdi-kaino-data-platform-product-manager-h-f.html</t>
  </si>
  <si>
    <t>C:\Users\HamzaRIABI\OneDrive - STARTUM CFA\Bureau\JOB\cv-gen\output\kaino-data-platform-product-manager--2026-05-16</t>
  </si>
  <si>
    <t>16/05/2026 19:17</t>
  </si>
  <si>
    <t>https://www.engagement-jeunes.com/fr/detail-offre/36455212/cdi-kaino-data-ops-h-f.html</t>
  </si>
  <si>
    <t>16/05/2026 19:33</t>
  </si>
  <si>
    <t>C:\Users\HamzaRIABI\OneDrive - STARTUM CFA\Bureau\JOB\cv-gen\output\kaino-data-ops-h-f-2026-05-16s</t>
  </si>
  <si>
    <t>Data Ops</t>
  </si>
  <si>
    <t>https://www.engagement-jeunes.com/fr/detail-offre/36835303/cdi-klanik-architecte-big-data-h-f.html</t>
  </si>
  <si>
    <t>16/05/2026 20:04</t>
  </si>
  <si>
    <t>architecte big data</t>
  </si>
  <si>
    <t>Klanik</t>
  </si>
  <si>
    <t>C:\Users\HamzaRIABI\OneDrive - STARTUM CFA\Bureau\JOB\cv-gen\output\klanik-architecte-big-data-h-f-2026-05-16s</t>
  </si>
  <si>
    <t>16/05/2026 20:47</t>
  </si>
  <si>
    <t>https://www.engagement-jeunes.com/fr/detail-offre/36010081/cdi-minds-chef-de-projet-ia-h-f.html</t>
  </si>
  <si>
    <t>C:\Users\HamzaRIABI\OneDrive - STARTUM CFA\Bureau\JOB\cv-gen\output\minds-chef-de-projet-ia-h-f-2026-05-16</t>
  </si>
  <si>
    <t>chef de projet IA</t>
  </si>
  <si>
    <t>MINDS</t>
  </si>
  <si>
    <t>NEO2</t>
  </si>
  <si>
    <t>16/05/2026 21:27</t>
  </si>
  <si>
    <t>Ingénieur Commercial – IA &amp; Automation (H/F)</t>
  </si>
  <si>
    <t>https://www.engagement-jeunes.com/fr/detail-offre/36234655/cdi-neo2-ia-automation-cdi-stage-pfe-h-f.html</t>
  </si>
  <si>
    <t>C:\Users\HamzaRIABI\OneDrive - STARTUM CFA\Bureau\JOB\cv-gen\output\neo2-ing-nieur-commercial-ia-automa-2026-05-16</t>
  </si>
  <si>
    <t>C:\Users\HamzaRIABI\OneDrive - STARTUM CFA\Bureau\JOB\cv-gen\output\safran-airbus-dual-opportunity-data-steward-data-engineer-2026-05-16</t>
  </si>
  <si>
    <t>17/05/2026 00:27</t>
  </si>
  <si>
    <t xml:space="preserve">Safran </t>
  </si>
  <si>
    <t>Data Engineer</t>
  </si>
  <si>
    <t xml:space="preserve">Data Steward </t>
  </si>
  <si>
    <t>https://www.safran-group.com/fr/offres/france/boulevard-valmy-92700-colombes/data-steward-fh-179390</t>
  </si>
  <si>
    <t>https://www.safran-group.com/fr/offres/france/montereau-jard/data-engineer-collecting-and-decoding-data-fleet-data-engineering-hf-fh-176439</t>
  </si>
  <si>
    <t>Siemens Mobility</t>
  </si>
  <si>
    <t>Ingénieur Intelligence Artificielle F/H</t>
  </si>
  <si>
    <t>https://jobs.siemens.com/en_US/externaljobs/JobDetail/504188?source=EngagementJeunes</t>
  </si>
  <si>
    <t>C:\Users\HamzaRIABI\OneDrive - STARTUM CFA\Bureau\JOB\cv-gen\output\siemens-mobility-ing-nieur-intelligence-artific-2026-05-16</t>
  </si>
  <si>
    <t>17/05/2026 02:19</t>
  </si>
  <si>
    <t>Skills RH</t>
  </si>
  <si>
    <t>https://www.cadremploi.fr/emploi/detail_offre?offreId=156536279305981589&amp;provenance=engagementjeunes&amp;utm_source=engagementjeunes&amp;utm_medium=affiliation&amp;utm_campaign=offres</t>
  </si>
  <si>
    <t>C:\Users\HamzaRIABI\OneDrive - STARTUM CFA\Bureau\JOB\cv-gen\output\skillsRH chef projet IA</t>
  </si>
  <si>
    <t>SOCOTEC</t>
  </si>
  <si>
    <t>Développeur Outils Métiers</t>
  </si>
  <si>
    <t>https://www.engagement-jeunes.com/fr/detail-offre/36841819/cdi-socotec-developpeur-outils-metiers-h-f.html</t>
  </si>
  <si>
    <t>C:\Users\HamzaRIABI\OneDrive - STARTUM CFA\Bureau\JOB\cv-gen\output\socotec-d-veloppeur-outils-m-tiers-2026-05-17</t>
  </si>
  <si>
    <t>18/05/2026 00:43</t>
  </si>
  <si>
    <t>19/05/2026 19:13</t>
  </si>
  <si>
    <t>Valeo</t>
  </si>
  <si>
    <t>Data IA</t>
  </si>
  <si>
    <t>https://valeo.wd3.myworkdayjobs.com/en-US/valeo_jobs/job/Crteil/Ingnieur-Intelligence-Artificielle--F-H-_REQ2025067509-1?q=data&amp;locationCountry=54c5b6971ffb4bf0b116fe7651ec789a&amp;timeType=56846bf75588100775e45cfb90100000&amp;workerSubType=1bc7ee912dc9100bd4a826d6e65d0001&amp;workerSubType=1bc7ee912dc9100bd4a8277106db0001</t>
  </si>
  <si>
    <t>https://valeo.wd3.myworkdayjobs.com/en-US/valeo_jobs/job/Bobigny/Ingnieur-IA---Data-domaine-industriel--F-H-_REQ2026071912?q=data&amp;locationCountry=54c5b6971ffb4bf0b116fe7651ec789a&amp;timeType=56846bf75588100775e45cfb90100000&amp;workerSubType=1bc7ee912dc9100bd4a826d6e65d0001&amp;workerSubType=1bc7ee912dc9100bd4a8277106db0001</t>
  </si>
  <si>
    <t>Ingénieur IA</t>
  </si>
  <si>
    <t>C:\Users\HamzaRIABI\OneDrive - STARTUM CFA\Bureau\JOB\cv-gen\output\valeo-ia-2026-05-19</t>
  </si>
  <si>
    <t>3DS</t>
  </si>
  <si>
    <t>chef de projet IA Graduate</t>
  </si>
  <si>
    <t>https://www.3ds.com/fr/careers/jobs/chef-de-projet-data-ia-et-transformation-voyages-d-affaires-f-h-547581</t>
  </si>
  <si>
    <t>C:\Users\HamzaRIABI\OneDrive - STARTUM CFA\Bureau\JOB\cv-gen\output\3ds-chef projet IA graduate</t>
  </si>
  <si>
    <t>Data Reply</t>
  </si>
  <si>
    <t>https://career012.successfactors.eu/career?career%5fns=job%5flisting&amp;company=C0004534147P&amp;navBarLevel=JOB%5fSEARCH&amp;rcm%5fsite%5flocale=en%5fUS&amp;career_job_req_id=11016&amp;selected_lang=en_GB&amp;jobAlertController_jobAlertId=&amp;jobAlertController_jobAlertName=&amp;browserTimeZone=Europe/Paris&amp;_s.crb=bXF0zYNOvgvwxo4HMiwPaIPXDm2sl%2b70gfMGxRNQM3o%3d</t>
  </si>
  <si>
    <t>C:\Users\HamzaRIABI\OneDrive - STARTUM CFA\Bureau\JOB\cv-gen\output\data-reply-junior-data-engineer-2026-05-22</t>
  </si>
  <si>
    <t>22/05/2026 18:24</t>
  </si>
  <si>
    <t>Junior Data Engineer/Graduate Data Engineer</t>
  </si>
  <si>
    <t>https://jobs.smartrecruiters.com/Wavestone1/744000126350657-consultant%c2%b7e-junior-en-technologies-emergentes-cto-cio-advisory-cdi</t>
  </si>
  <si>
    <t>https://jobs.smartrecruiters.com/Wavestone1/744000116549297-consultant-e-en-transformation-digitale-banque-assurance</t>
  </si>
  <si>
    <t>https://jobs.smartrecruiters.com/Wavestone1/744000109231595-data-analytics-ai-consultant-luxe-retail-hospitalite-services-cdi</t>
  </si>
  <si>
    <t>WAVESTONE</t>
  </si>
  <si>
    <t xml:space="preserve">Consultant.e en transformation digitale </t>
  </si>
  <si>
    <t>Consultant·e AI &amp; Data Platform</t>
  </si>
  <si>
    <t>Consultant.e Gouvernance Data &amp; IA</t>
  </si>
  <si>
    <t>https://jobs.smartrecruiters.com/Wavestone1/744000123735818-consultant%c2%b7e-ai-data-platform-jeune-diplome%c2%b7e-h-f</t>
  </si>
  <si>
    <t>https://jobs.smartrecruiters.com/Wavestone1/744000120709675-ai-engineer</t>
  </si>
  <si>
    <t>AI Engineer</t>
  </si>
  <si>
    <t>C:\Users\HamzaRIABI\OneDrive - STARTUM CFA\Bureau\JOB\cv-gen\output\wavestone-consultant-e-junior-ia-data-ag-2026-05-20</t>
  </si>
  <si>
    <t>Wavestone</t>
  </si>
  <si>
    <t>26/05/2026 13:15</t>
  </si>
  <si>
    <t>Consultant·e Data - Secteur Public</t>
  </si>
  <si>
    <t>https://jobs.smartrecruiters.com/Wavestone1/744000097717820-cdi-consultant%c2%b7e-data-secteur-public</t>
  </si>
  <si>
    <t>C:\Users\HamzaRIABI\OneDrive - STARTUM CFA\Bureau\JOB\cv-gen\output\wavestone-consultant-e-data-secteur-publ-2026-05-26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</si>
</sst>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4AAD"/>
      <name val="Montserrat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9DDFF"/>
        <bgColor rgb="FFB9DDFF"/>
      </patternFill>
    </fill>
  </fills>
  <borders count="3">
    <border>
      <left/>
      <right/>
      <top/>
      <bottom/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22" fontId="0" fillId="0" borderId="0" xfId="0" applyNumberFormat="1"/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Dashboard</a:t>
            </a:r>
          </a:p>
          <a:p>
            <a:pPr>
              <a:defRPr/>
            </a:pPr>
            <a:endParaRPr lang="fr-FR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</c:v>
          </c:tx>
          <c:cat>
            <c:strRef>
              <c:f>Feuil1!$F$2:$F$5</c:f>
              <c:strCache>
                <c:ptCount val="4"/>
                <c:pt idx="0">
                  <c:v>Accepté</c:v>
                </c:pt>
                <c:pt idx="1">
                  <c:v>Refusé</c:v>
                </c:pt>
                <c:pt idx="2">
                  <c:v>À envoyer</c:v>
                </c:pt>
                <c:pt idx="3">
                  <c:v>Postulé</c:v>
                </c:pt>
              </c:strCache>
            </c:strRef>
          </c:cat>
          <c:val>
            <c:numRef>
              <c:f>Feuil1!$E$2:$E$5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6-45DF-8ABC-364F97F57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239838952169815"/>
          <c:y val="0.31053901798860511"/>
          <c:w val="0.16119356985318245"/>
          <c:h val="0.536672045577288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333333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1925292</xdr:colOff>
      <xdr:row>6</xdr:row>
      <xdr:rowOff>630224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CC66A4F-00E3-4E9C-806F-ABC3A86B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fran-group.com/fr/offres/france/boulevard-valmy-92700-colombes/data-steward-fh-179390" TargetMode="External"/><Relationship Id="rId13" Type="http://schemas.openxmlformats.org/officeDocument/2006/relationships/hyperlink" Target="https://valeo.wd3.myworkdayjobs.com/en-US/valeo_jobs/job/Bobigny/Ingnieur-IA---Data-domaine-industriel--F-H-_REQ2026071912?q=data&amp;locationCountry=54c5b6971ffb4bf0b116fe7651ec789a&amp;timeType=56846bf75588100775e45cfb90100000&amp;workerSubType=1bc7ee912dc9100bd4a826d6e65d0001&amp;workerSubType=1bc7ee912dc9100bd4a8277106db0001" TargetMode="External"/><Relationship Id="rId18" Type="http://schemas.openxmlformats.org/officeDocument/2006/relationships/hyperlink" Target="https://jobs.smartrecruiters.com/Wavestone1/744000109231595-data-analytics-ai-consultant-luxe-retail-hospitalite-services-cdi" TargetMode="External"/><Relationship Id="rId3" Type="http://schemas.openxmlformats.org/officeDocument/2006/relationships/hyperlink" Target="https://www.engagement-jeunes.com/fr/detail-offre/36841852/cdi-alten-data-scientist-gcp-h-f.html" TargetMode="External"/><Relationship Id="rId21" Type="http://schemas.openxmlformats.org/officeDocument/2006/relationships/hyperlink" Target="https://jobs.smartrecruiters.com/Wavestone1/744000123735818-consultant%c2%b7e-ai-data-platform-jeune-diplome%c2%b7e-h-f" TargetMode="External"/><Relationship Id="rId7" Type="http://schemas.openxmlformats.org/officeDocument/2006/relationships/hyperlink" Target="https://groupecreditagricole.jobs/fr/nos-offres-emploi/577-170473-122-inspecteur-rice-systemes-d-information-hf-reference--2026-107238--/" TargetMode="External"/><Relationship Id="rId12" Type="http://schemas.openxmlformats.org/officeDocument/2006/relationships/hyperlink" Target="https://valeo.wd3.myworkdayjobs.com/en-US/valeo_jobs/job/Crteil/Ingnieur-Intelligence-Artificielle--F-H-_REQ2025067509-1?q=data&amp;locationCountry=54c5b6971ffb4bf0b116fe7651ec789a&amp;timeType=56846bf75588100775e45cfb90100000&amp;workerSubType=1bc7ee912dc9100bd4a826d6e65d0001&amp;workerSubType=1bc7ee912dc9100bd4a8277106db0001" TargetMode="External"/><Relationship Id="rId17" Type="http://schemas.openxmlformats.org/officeDocument/2006/relationships/hyperlink" Target="https://jobs.smartrecruiters.com/Wavestone1/744000109231595-data-analytics-ai-consultant-luxe-retail-hospitalite-services-cdi" TargetMode="External"/><Relationship Id="rId2" Type="http://schemas.openxmlformats.org/officeDocument/2006/relationships/hyperlink" Target="https://www.engagement-jeunes.com/fr/detail-offre/36682033/cdi-collective-work-data-analyst-anglais-h-f.html" TargetMode="External"/><Relationship Id="rId16" Type="http://schemas.openxmlformats.org/officeDocument/2006/relationships/hyperlink" Target="https://jobs.smartrecruiters.com/Wavestone1/744000116549297-consultant-e-en-transformation-digitale-banque-assurance" TargetMode="External"/><Relationship Id="rId20" Type="http://schemas.openxmlformats.org/officeDocument/2006/relationships/hyperlink" Target="https://jobs.smartrecruiters.com/Wavestone1/744000120709675-ai-engineer" TargetMode="External"/><Relationship Id="rId1" Type="http://schemas.openxmlformats.org/officeDocument/2006/relationships/hyperlink" Target="https://jobs.lever.co/pigment/0aede960-d9cd-45c1-92e4-82e3cb3b2ae2" TargetMode="External"/><Relationship Id="rId6" Type="http://schemas.openxmlformats.org/officeDocument/2006/relationships/hyperlink" Target="https://groupecreditagricole.jobs/fr/nos-offres-emploi/577-170473-122-inspecteur-rice-data-hf-reference--2026-107237--/" TargetMode="External"/><Relationship Id="rId11" Type="http://schemas.openxmlformats.org/officeDocument/2006/relationships/hyperlink" Target="https://www.cadremploi.fr/emploi/detail_offre?offreId=156536279305981589&amp;provenance=engagementjeunes&amp;utm_source=engagementjeunes&amp;utm_medium=affiliation&amp;utm_campaign=offres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s://groupecreditagricole.jobs/fr/nos-offres-emploi/577-170477-137--data-scientist-hf-reference--2025-107029--/" TargetMode="External"/><Relationship Id="rId15" Type="http://schemas.openxmlformats.org/officeDocument/2006/relationships/hyperlink" Target="https://jobs.smartrecruiters.com/Wavestone1/744000126350657-consultant%c2%b7e-junior-en-technologies-emergentes-cto-cio-advisory-cdi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engagement-jeunes.com/fr/detail-offre/35909749/cdi-safran-data-gouvernance-officer-f-h.html" TargetMode="External"/><Relationship Id="rId19" Type="http://schemas.openxmlformats.org/officeDocument/2006/relationships/hyperlink" Target="https://jobs.smartrecruiters.com/Wavestone1/744000123735818-consultant%c2%b7e-ai-data-platform-jeune-diplome%c2%b7e-h-f" TargetMode="External"/><Relationship Id="rId4" Type="http://schemas.openxmlformats.org/officeDocument/2006/relationships/hyperlink" Target="https://jobs.amundi.com/Pages/Offre/detailoffre.aspx?idOffre=108662&amp;idOrigine=514&amp;LCID=1036&amp;offerReference=2026-108662&amp;utm_source=engagement-jeunes&amp;utm_medium=engagement-jeunes" TargetMode="External"/><Relationship Id="rId9" Type="http://schemas.openxmlformats.org/officeDocument/2006/relationships/hyperlink" Target="https://www.safran-group.com/fr/offres/france/montereau-jard/data-engineer-collecting-and-decoding-data-fleet-data-engineering-hf-fh-176439" TargetMode="External"/><Relationship Id="rId14" Type="http://schemas.openxmlformats.org/officeDocument/2006/relationships/hyperlink" Target="https://www.3ds.com/fr/careers/jobs/chef-de-projet-data-ia-et-transformation-voyages-d-affaires-f-h-547581" TargetMode="External"/><Relationship Id="rId22" Type="http://schemas.openxmlformats.org/officeDocument/2006/relationships/hyperlink" Target="https://jobs.smartrecruiters.com/Wavestone1/744000120709675-ai-engin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60"/>
  <sheetViews>
    <sheetView tabSelected="1" topLeftCell="A37" zoomScaleNormal="100" workbookViewId="0">
      <selection activeCell="F37" sqref="F37"/>
    </sheetView>
  </sheetViews>
  <sheetFormatPr baseColWidth="10" defaultColWidth="8.88671875" defaultRowHeight="14.4" customHeight="1" x14ac:dyDescent="0.3"/>
  <cols>
    <col min="1" max="1" width="26.44140625" customWidth="1"/>
    <col min="2" max="2" width="37.109375" customWidth="1"/>
    <col min="3" max="3" width="37.6640625" customWidth="1"/>
    <col min="4" max="4" width="39" customWidth="1"/>
    <col min="5" max="5" width="158.88671875" customWidth="1"/>
    <col min="6" max="6" width="26.6640625" customWidth="1"/>
    <col min="7" max="7" width="18.44140625" customWidth="1"/>
    <col min="8" max="8" width="15.109375" customWidth="1"/>
    <col min="9" max="9" width="135.6640625" customWidth="1"/>
  </cols>
  <sheetData>
    <row r="2" spans="1:23" ht="14.4" customHeight="1" x14ac:dyDescent="0.3">
      <c r="E2" s="1">
        <f>COUNTIF($F$9:$F$998,"Accepté")</f>
        <v>0</v>
      </c>
      <c r="F2" s="2" t="s">
        <v>0</v>
      </c>
    </row>
    <row r="3" spans="1:23" ht="14.4" customHeight="1" x14ac:dyDescent="0.3">
      <c r="E3" s="1">
        <f>COUNTIF($F$9:$F$998,"Refusé")</f>
        <v>6</v>
      </c>
      <c r="F3" s="2" t="s">
        <v>1</v>
      </c>
    </row>
    <row r="4" spans="1:23" ht="14.4" customHeight="1" x14ac:dyDescent="0.3">
      <c r="E4" s="1">
        <f>COUNTIF($F$9:$F$998,"À envoyer")</f>
        <v>0</v>
      </c>
      <c r="F4" s="2" t="s">
        <v>12</v>
      </c>
    </row>
    <row r="5" spans="1:23" ht="14.4" customHeight="1" x14ac:dyDescent="0.3">
      <c r="E5" s="1">
        <f>COUNTIF($F$9:$F$998,"Postulé")</f>
        <v>46</v>
      </c>
      <c r="F5" s="2" t="s">
        <v>13</v>
      </c>
    </row>
    <row r="7" spans="1:23" ht="69.599999999999994" customHeight="1" x14ac:dyDescent="0.3"/>
    <row r="8" spans="1:23" ht="37.5" customHeight="1" x14ac:dyDescent="0.3">
      <c r="A8" s="3" t="s">
        <v>2</v>
      </c>
      <c r="B8" s="4" t="s">
        <v>3</v>
      </c>
      <c r="C8" s="5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5" t="s">
        <v>9</v>
      </c>
      <c r="I8" s="4" t="s">
        <v>10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3">
      <c r="A9">
        <v>1</v>
      </c>
      <c r="B9" t="s">
        <v>28</v>
      </c>
      <c r="C9" s="8" t="s">
        <v>29</v>
      </c>
      <c r="D9" t="s">
        <v>30</v>
      </c>
      <c r="E9" t="s">
        <v>31</v>
      </c>
      <c r="F9" t="s">
        <v>13</v>
      </c>
      <c r="I9" t="s">
        <v>32</v>
      </c>
    </row>
    <row r="10" spans="1:23" x14ac:dyDescent="0.3">
      <c r="A10">
        <v>2</v>
      </c>
      <c r="B10" t="s">
        <v>33</v>
      </c>
      <c r="C10" s="9">
        <v>46153.996527777781</v>
      </c>
      <c r="D10" t="s">
        <v>34</v>
      </c>
      <c r="E10" s="7" t="s">
        <v>35</v>
      </c>
      <c r="F10" t="s">
        <v>13</v>
      </c>
      <c r="I10" t="s">
        <v>36</v>
      </c>
    </row>
    <row r="11" spans="1:23" x14ac:dyDescent="0.3">
      <c r="A11">
        <v>3</v>
      </c>
      <c r="B11" t="s">
        <v>37</v>
      </c>
      <c r="C11" s="9">
        <v>46154.996527777781</v>
      </c>
      <c r="D11" t="s">
        <v>38</v>
      </c>
      <c r="E11" s="7" t="s">
        <v>39</v>
      </c>
      <c r="F11" t="s">
        <v>13</v>
      </c>
      <c r="I11" t="s">
        <v>40</v>
      </c>
    </row>
    <row r="12" spans="1:23" x14ac:dyDescent="0.3">
      <c r="A12">
        <v>4</v>
      </c>
      <c r="B12" t="s">
        <v>14</v>
      </c>
      <c r="C12" s="8" t="s">
        <v>17</v>
      </c>
      <c r="D12" t="s">
        <v>11</v>
      </c>
      <c r="E12" t="s">
        <v>15</v>
      </c>
      <c r="F12" t="s">
        <v>13</v>
      </c>
      <c r="I12" t="s">
        <v>16</v>
      </c>
    </row>
    <row r="13" spans="1:23" x14ac:dyDescent="0.3">
      <c r="A13">
        <v>5</v>
      </c>
      <c r="B13" t="s">
        <v>14</v>
      </c>
      <c r="C13" s="8" t="s">
        <v>18</v>
      </c>
      <c r="D13" t="s">
        <v>19</v>
      </c>
      <c r="E13" t="s">
        <v>20</v>
      </c>
      <c r="F13" t="s">
        <v>13</v>
      </c>
      <c r="I13" t="s">
        <v>21</v>
      </c>
    </row>
    <row r="14" spans="1:23" x14ac:dyDescent="0.3">
      <c r="A14">
        <v>6</v>
      </c>
      <c r="B14" t="s">
        <v>22</v>
      </c>
      <c r="C14" s="8" t="s">
        <v>25</v>
      </c>
      <c r="D14" t="s">
        <v>23</v>
      </c>
      <c r="E14" t="s">
        <v>26</v>
      </c>
      <c r="F14" t="s">
        <v>13</v>
      </c>
      <c r="G14" t="s">
        <v>27</v>
      </c>
      <c r="I14" t="s">
        <v>24</v>
      </c>
    </row>
    <row r="15" spans="1:23" x14ac:dyDescent="0.3">
      <c r="A15">
        <v>6</v>
      </c>
      <c r="B15" t="s">
        <v>42</v>
      </c>
      <c r="C15" s="8" t="s">
        <v>44</v>
      </c>
      <c r="D15" t="s">
        <v>45</v>
      </c>
      <c r="E15" s="7" t="s">
        <v>43</v>
      </c>
      <c r="F15" t="s">
        <v>13</v>
      </c>
      <c r="I15" t="s">
        <v>41</v>
      </c>
    </row>
    <row r="16" spans="1:23" x14ac:dyDescent="0.3">
      <c r="A16">
        <v>8</v>
      </c>
      <c r="B16" t="s">
        <v>46</v>
      </c>
      <c r="C16" s="8" t="s">
        <v>47</v>
      </c>
      <c r="D16" t="s">
        <v>48</v>
      </c>
      <c r="E16" s="7" t="s">
        <v>50</v>
      </c>
      <c r="F16" t="s">
        <v>13</v>
      </c>
      <c r="I16" t="s">
        <v>49</v>
      </c>
    </row>
    <row r="17" spans="1:9" x14ac:dyDescent="0.3">
      <c r="A17">
        <v>8</v>
      </c>
      <c r="B17" t="s">
        <v>61</v>
      </c>
      <c r="C17" s="8" t="s">
        <v>56</v>
      </c>
      <c r="D17" t="s">
        <v>45</v>
      </c>
      <c r="E17" s="7" t="s">
        <v>51</v>
      </c>
      <c r="F17" t="s">
        <v>13</v>
      </c>
      <c r="I17" t="s">
        <v>41</v>
      </c>
    </row>
    <row r="18" spans="1:9" x14ac:dyDescent="0.3">
      <c r="A18">
        <v>8</v>
      </c>
      <c r="B18" t="s">
        <v>61</v>
      </c>
      <c r="C18" s="8" t="s">
        <v>57</v>
      </c>
      <c r="D18" t="s">
        <v>62</v>
      </c>
      <c r="E18" s="7" t="s">
        <v>52</v>
      </c>
      <c r="F18" t="s">
        <v>13</v>
      </c>
      <c r="I18" t="s">
        <v>41</v>
      </c>
    </row>
    <row r="19" spans="1:9" x14ac:dyDescent="0.3">
      <c r="A19">
        <v>8</v>
      </c>
      <c r="B19" t="s">
        <v>61</v>
      </c>
      <c r="C19" s="8" t="s">
        <v>58</v>
      </c>
      <c r="D19" t="s">
        <v>63</v>
      </c>
      <c r="E19" s="7" t="s">
        <v>53</v>
      </c>
      <c r="F19" t="s">
        <v>13</v>
      </c>
      <c r="I19" t="s">
        <v>41</v>
      </c>
    </row>
    <row r="20" spans="1:9" x14ac:dyDescent="0.3">
      <c r="A20">
        <v>8</v>
      </c>
      <c r="B20" t="s">
        <v>61</v>
      </c>
      <c r="C20" s="8" t="s">
        <v>59</v>
      </c>
      <c r="D20" t="s">
        <v>45</v>
      </c>
      <c r="E20" t="s">
        <v>54</v>
      </c>
      <c r="F20" t="s">
        <v>13</v>
      </c>
      <c r="I20" t="s">
        <v>41</v>
      </c>
    </row>
    <row r="21" spans="1:9" x14ac:dyDescent="0.3">
      <c r="A21">
        <v>8</v>
      </c>
      <c r="B21" t="s">
        <v>61</v>
      </c>
      <c r="C21" s="8" t="s">
        <v>60</v>
      </c>
      <c r="D21" t="s">
        <v>64</v>
      </c>
      <c r="E21" t="s">
        <v>55</v>
      </c>
      <c r="F21" t="s">
        <v>13</v>
      </c>
      <c r="I21" t="s">
        <v>41</v>
      </c>
    </row>
    <row r="22" spans="1:9" x14ac:dyDescent="0.3">
      <c r="A22">
        <v>14</v>
      </c>
      <c r="B22" t="s">
        <v>65</v>
      </c>
      <c r="C22" s="8" t="s">
        <v>69</v>
      </c>
      <c r="D22" t="s">
        <v>66</v>
      </c>
      <c r="E22" t="s">
        <v>67</v>
      </c>
      <c r="F22" t="s">
        <v>1</v>
      </c>
      <c r="I22" t="s">
        <v>68</v>
      </c>
    </row>
    <row r="23" spans="1:9" x14ac:dyDescent="0.3">
      <c r="A23">
        <v>15</v>
      </c>
      <c r="B23" t="s">
        <v>70</v>
      </c>
      <c r="C23" s="8" t="s">
        <v>71</v>
      </c>
      <c r="D23" t="s">
        <v>72</v>
      </c>
      <c r="E23" t="s">
        <v>73</v>
      </c>
      <c r="F23" t="s">
        <v>1</v>
      </c>
      <c r="I23" t="s">
        <v>74</v>
      </c>
    </row>
    <row r="24" spans="1:9" x14ac:dyDescent="0.3">
      <c r="A24">
        <v>16</v>
      </c>
      <c r="B24" t="s">
        <v>75</v>
      </c>
      <c r="C24" s="8" t="s">
        <v>79</v>
      </c>
      <c r="D24" t="s">
        <v>76</v>
      </c>
      <c r="E24" t="s">
        <v>77</v>
      </c>
      <c r="F24" t="s">
        <v>13</v>
      </c>
      <c r="I24" t="s">
        <v>78</v>
      </c>
    </row>
    <row r="25" spans="1:9" x14ac:dyDescent="0.3">
      <c r="A25">
        <v>17</v>
      </c>
      <c r="B25" t="s">
        <v>80</v>
      </c>
      <c r="C25" s="8" t="s">
        <v>84</v>
      </c>
      <c r="D25" t="s">
        <v>81</v>
      </c>
      <c r="E25" t="s">
        <v>82</v>
      </c>
      <c r="F25" t="s">
        <v>1</v>
      </c>
      <c r="I25" t="s">
        <v>83</v>
      </c>
    </row>
    <row r="26" spans="1:9" x14ac:dyDescent="0.3">
      <c r="A26">
        <v>18</v>
      </c>
      <c r="B26" t="s">
        <v>85</v>
      </c>
      <c r="C26" s="8" t="s">
        <v>89</v>
      </c>
      <c r="D26" t="s">
        <v>86</v>
      </c>
      <c r="E26" t="s">
        <v>87</v>
      </c>
      <c r="F26" t="s">
        <v>13</v>
      </c>
      <c r="I26" t="s">
        <v>88</v>
      </c>
    </row>
    <row r="27" spans="1:9" x14ac:dyDescent="0.3">
      <c r="A27">
        <v>19</v>
      </c>
      <c r="B27" t="s">
        <v>85</v>
      </c>
      <c r="C27" s="8" t="s">
        <v>91</v>
      </c>
      <c r="D27" t="s">
        <v>93</v>
      </c>
      <c r="E27" t="s">
        <v>90</v>
      </c>
      <c r="F27" t="s">
        <v>13</v>
      </c>
      <c r="I27" t="s">
        <v>92</v>
      </c>
    </row>
    <row r="28" spans="1:9" x14ac:dyDescent="0.3">
      <c r="A28">
        <v>20</v>
      </c>
      <c r="B28" t="s">
        <v>97</v>
      </c>
      <c r="C28" s="8" t="s">
        <v>95</v>
      </c>
      <c r="D28" t="s">
        <v>96</v>
      </c>
      <c r="E28" t="s">
        <v>94</v>
      </c>
      <c r="F28" t="s">
        <v>1</v>
      </c>
      <c r="I28" t="s">
        <v>98</v>
      </c>
    </row>
    <row r="29" spans="1:9" x14ac:dyDescent="0.3">
      <c r="A29">
        <v>21</v>
      </c>
      <c r="B29" t="s">
        <v>103</v>
      </c>
      <c r="C29" s="8" t="s">
        <v>99</v>
      </c>
      <c r="D29" t="s">
        <v>102</v>
      </c>
      <c r="E29" t="s">
        <v>100</v>
      </c>
      <c r="F29" t="s">
        <v>13</v>
      </c>
      <c r="I29" t="s">
        <v>101</v>
      </c>
    </row>
    <row r="30" spans="1:9" x14ac:dyDescent="0.3">
      <c r="A30">
        <v>22</v>
      </c>
      <c r="B30" t="s">
        <v>104</v>
      </c>
      <c r="C30" t="s">
        <v>105</v>
      </c>
      <c r="D30" t="s">
        <v>106</v>
      </c>
      <c r="E30" t="s">
        <v>107</v>
      </c>
      <c r="F30" t="s">
        <v>1</v>
      </c>
      <c r="I30" t="s">
        <v>108</v>
      </c>
    </row>
    <row r="31" spans="1:9" x14ac:dyDescent="0.3">
      <c r="A31">
        <v>23</v>
      </c>
      <c r="B31" t="s">
        <v>111</v>
      </c>
      <c r="C31" t="s">
        <v>110</v>
      </c>
      <c r="D31" t="s">
        <v>113</v>
      </c>
      <c r="E31" s="7" t="s">
        <v>114</v>
      </c>
      <c r="F31" t="s">
        <v>13</v>
      </c>
      <c r="I31" t="s">
        <v>109</v>
      </c>
    </row>
    <row r="32" spans="1:9" x14ac:dyDescent="0.3">
      <c r="A32">
        <v>24</v>
      </c>
      <c r="B32" t="s">
        <v>111</v>
      </c>
      <c r="C32" t="s">
        <v>110</v>
      </c>
      <c r="D32" t="s">
        <v>112</v>
      </c>
      <c r="E32" s="7" t="s">
        <v>115</v>
      </c>
      <c r="F32" t="s">
        <v>13</v>
      </c>
      <c r="I32" t="s">
        <v>109</v>
      </c>
    </row>
    <row r="33" spans="1:9" ht="14.4" customHeight="1" x14ac:dyDescent="0.3">
      <c r="A33">
        <v>25</v>
      </c>
      <c r="B33" t="s">
        <v>116</v>
      </c>
      <c r="C33" t="s">
        <v>120</v>
      </c>
      <c r="D33" t="s">
        <v>117</v>
      </c>
      <c r="E33" s="7" t="s">
        <v>118</v>
      </c>
      <c r="F33" t="s">
        <v>13</v>
      </c>
      <c r="I33" t="s">
        <v>119</v>
      </c>
    </row>
    <row r="34" spans="1:9" ht="14.4" customHeight="1" x14ac:dyDescent="0.3">
      <c r="A34">
        <v>26</v>
      </c>
      <c r="B34" t="s">
        <v>121</v>
      </c>
      <c r="C34" s="9">
        <v>46160.097222222219</v>
      </c>
      <c r="D34" t="s">
        <v>102</v>
      </c>
      <c r="E34" s="7" t="s">
        <v>122</v>
      </c>
      <c r="F34" t="s">
        <v>13</v>
      </c>
      <c r="I34" t="s">
        <v>123</v>
      </c>
    </row>
    <row r="35" spans="1:9" x14ac:dyDescent="0.3">
      <c r="A35">
        <v>27</v>
      </c>
      <c r="B35" t="s">
        <v>124</v>
      </c>
      <c r="C35" t="s">
        <v>128</v>
      </c>
      <c r="D35" t="s">
        <v>125</v>
      </c>
      <c r="E35" t="s">
        <v>126</v>
      </c>
      <c r="F35" t="s">
        <v>13</v>
      </c>
      <c r="I35" t="s">
        <v>127</v>
      </c>
    </row>
    <row r="36" spans="1:9" x14ac:dyDescent="0.3">
      <c r="A36">
        <v>28</v>
      </c>
      <c r="B36" t="s">
        <v>130</v>
      </c>
      <c r="C36" t="s">
        <v>129</v>
      </c>
      <c r="D36" t="s">
        <v>131</v>
      </c>
      <c r="E36" s="7" t="s">
        <v>133</v>
      </c>
      <c r="F36" t="s">
        <v>13</v>
      </c>
      <c r="I36" t="s">
        <v>135</v>
      </c>
    </row>
    <row r="37" spans="1:9" ht="14.4" customHeight="1" x14ac:dyDescent="0.3">
      <c r="A37">
        <v>29</v>
      </c>
      <c r="B37" t="s">
        <v>130</v>
      </c>
      <c r="C37" t="s">
        <v>129</v>
      </c>
      <c r="D37" t="s">
        <v>134</v>
      </c>
      <c r="E37" s="7" t="s">
        <v>132</v>
      </c>
      <c r="F37" t="s">
        <v>1</v>
      </c>
      <c r="I37" t="s">
        <v>135</v>
      </c>
    </row>
    <row r="38" spans="1:9" ht="14.4" customHeight="1" x14ac:dyDescent="0.3">
      <c r="A38">
        <v>30</v>
      </c>
      <c r="B38" t="s">
        <v>136</v>
      </c>
      <c r="C38" s="10">
        <v>46164.718055555553</v>
      </c>
      <c r="D38" t="s">
        <v>137</v>
      </c>
      <c r="E38" s="7" t="s">
        <v>138</v>
      </c>
      <c r="F38" t="s">
        <v>13</v>
      </c>
      <c r="I38" t="s">
        <v>139</v>
      </c>
    </row>
    <row r="39" spans="1:9" x14ac:dyDescent="0.3">
      <c r="A39">
        <v>31</v>
      </c>
      <c r="B39" t="s">
        <v>140</v>
      </c>
      <c r="C39" t="s">
        <v>143</v>
      </c>
      <c r="D39" t="s">
        <v>144</v>
      </c>
      <c r="E39" t="s">
        <v>141</v>
      </c>
      <c r="F39" t="s">
        <v>13</v>
      </c>
      <c r="I39" t="s">
        <v>142</v>
      </c>
    </row>
    <row r="40" spans="1:9" ht="14.4" customHeight="1" x14ac:dyDescent="0.3">
      <c r="A40">
        <v>32</v>
      </c>
      <c r="B40" t="s">
        <v>148</v>
      </c>
      <c r="C40" s="10">
        <v>46165.017361111109</v>
      </c>
      <c r="D40" t="s">
        <v>149</v>
      </c>
      <c r="E40" s="7" t="s">
        <v>145</v>
      </c>
      <c r="F40" t="s">
        <v>13</v>
      </c>
      <c r="I40" t="s">
        <v>155</v>
      </c>
    </row>
    <row r="41" spans="1:9" ht="14.4" customHeight="1" x14ac:dyDescent="0.3">
      <c r="A41">
        <v>33</v>
      </c>
      <c r="B41" t="s">
        <v>148</v>
      </c>
      <c r="C41" s="10">
        <v>46165.017361111109</v>
      </c>
      <c r="D41" t="s">
        <v>149</v>
      </c>
      <c r="E41" s="7" t="s">
        <v>146</v>
      </c>
      <c r="F41" t="s">
        <v>13</v>
      </c>
      <c r="I41" t="s">
        <v>155</v>
      </c>
    </row>
    <row r="42" spans="1:9" ht="14.4" customHeight="1" x14ac:dyDescent="0.3">
      <c r="A42">
        <v>34</v>
      </c>
      <c r="B42" t="s">
        <v>148</v>
      </c>
      <c r="C42" s="10">
        <v>46165.017361111109</v>
      </c>
      <c r="D42" t="s">
        <v>149</v>
      </c>
      <c r="E42" s="7" t="s">
        <v>147</v>
      </c>
      <c r="F42" t="s">
        <v>13</v>
      </c>
      <c r="I42" t="s">
        <v>155</v>
      </c>
    </row>
    <row r="43" spans="1:9" ht="14.4" customHeight="1" x14ac:dyDescent="0.3">
      <c r="A43">
        <v>35</v>
      </c>
      <c r="B43" t="s">
        <v>148</v>
      </c>
      <c r="C43" s="10">
        <v>46165.017361111109</v>
      </c>
      <c r="D43" t="s">
        <v>149</v>
      </c>
      <c r="E43" s="7" t="s">
        <v>147</v>
      </c>
      <c r="F43" t="s">
        <v>13</v>
      </c>
      <c r="I43" t="s">
        <v>155</v>
      </c>
    </row>
    <row r="44" spans="1:9" ht="14.4" customHeight="1" x14ac:dyDescent="0.3">
      <c r="A44">
        <v>36</v>
      </c>
      <c r="B44" t="s">
        <v>148</v>
      </c>
      <c r="C44" s="10">
        <v>46165.017361111109</v>
      </c>
      <c r="D44" t="s">
        <v>149</v>
      </c>
      <c r="E44" s="7" t="s">
        <v>147</v>
      </c>
      <c r="F44" t="s">
        <v>13</v>
      </c>
      <c r="I44" t="s">
        <v>155</v>
      </c>
    </row>
    <row r="45" spans="1:9" ht="14.4" customHeight="1" x14ac:dyDescent="0.3">
      <c r="A45">
        <v>37</v>
      </c>
      <c r="B45" t="s">
        <v>148</v>
      </c>
      <c r="C45" s="10">
        <v>46165.017361111109</v>
      </c>
      <c r="D45" t="s">
        <v>149</v>
      </c>
      <c r="E45" s="7" t="s">
        <v>147</v>
      </c>
      <c r="F45" t="s">
        <v>13</v>
      </c>
      <c r="I45" t="s">
        <v>155</v>
      </c>
    </row>
    <row r="46" spans="1:9" ht="14.4" customHeight="1" x14ac:dyDescent="0.3">
      <c r="A46">
        <v>38</v>
      </c>
      <c r="B46" t="s">
        <v>148</v>
      </c>
      <c r="C46" s="10">
        <v>46165.017361111109</v>
      </c>
      <c r="D46" t="s">
        <v>149</v>
      </c>
      <c r="E46" s="7" t="s">
        <v>147</v>
      </c>
      <c r="F46" t="s">
        <v>13</v>
      </c>
      <c r="I46" t="s">
        <v>155</v>
      </c>
    </row>
    <row r="47" spans="1:9" ht="14.4" customHeight="1" x14ac:dyDescent="0.3">
      <c r="A47">
        <v>39</v>
      </c>
      <c r="B47" t="s">
        <v>148</v>
      </c>
      <c r="C47" s="10">
        <v>46165.017361111109</v>
      </c>
      <c r="D47" t="s">
        <v>149</v>
      </c>
      <c r="E47" s="7" t="s">
        <v>147</v>
      </c>
      <c r="F47" t="s">
        <v>13</v>
      </c>
      <c r="I47" t="s">
        <v>155</v>
      </c>
    </row>
    <row r="48" spans="1:9" ht="14.4" customHeight="1" x14ac:dyDescent="0.3">
      <c r="A48">
        <v>40</v>
      </c>
      <c r="B48" t="s">
        <v>148</v>
      </c>
      <c r="C48" s="10">
        <v>46165.017361111109</v>
      </c>
      <c r="D48" t="s">
        <v>149</v>
      </c>
      <c r="E48" s="7" t="s">
        <v>147</v>
      </c>
      <c r="F48" t="s">
        <v>13</v>
      </c>
      <c r="I48" t="s">
        <v>155</v>
      </c>
    </row>
    <row r="49" spans="1:9" ht="14.4" customHeight="1" x14ac:dyDescent="0.3">
      <c r="A49">
        <v>41</v>
      </c>
      <c r="B49" t="s">
        <v>148</v>
      </c>
      <c r="C49" s="10">
        <v>46165.017361111109</v>
      </c>
      <c r="D49" t="s">
        <v>150</v>
      </c>
      <c r="E49" s="7" t="s">
        <v>152</v>
      </c>
      <c r="F49" t="s">
        <v>13</v>
      </c>
      <c r="I49" t="s">
        <v>155</v>
      </c>
    </row>
    <row r="50" spans="1:9" ht="14.4" customHeight="1" x14ac:dyDescent="0.3">
      <c r="A50">
        <v>42</v>
      </c>
      <c r="B50" t="s">
        <v>148</v>
      </c>
      <c r="C50" s="10">
        <v>46165.017361111109</v>
      </c>
      <c r="D50" s="11" t="s">
        <v>151</v>
      </c>
      <c r="E50" s="7" t="s">
        <v>152</v>
      </c>
      <c r="F50" t="s">
        <v>13</v>
      </c>
      <c r="I50" t="s">
        <v>155</v>
      </c>
    </row>
    <row r="51" spans="1:9" ht="14.4" customHeight="1" x14ac:dyDescent="0.3">
      <c r="A51">
        <v>43</v>
      </c>
      <c r="B51" t="s">
        <v>148</v>
      </c>
      <c r="C51" s="10">
        <v>46165.017361111109</v>
      </c>
      <c r="D51" s="11" t="s">
        <v>151</v>
      </c>
      <c r="E51" s="7" t="s">
        <v>152</v>
      </c>
      <c r="F51" t="s">
        <v>13</v>
      </c>
      <c r="I51" t="s">
        <v>155</v>
      </c>
    </row>
    <row r="52" spans="1:9" ht="14.4" customHeight="1" x14ac:dyDescent="0.3">
      <c r="A52">
        <v>44</v>
      </c>
      <c r="B52" t="s">
        <v>148</v>
      </c>
      <c r="C52" s="10">
        <v>46165.017361111109</v>
      </c>
      <c r="D52" t="s">
        <v>154</v>
      </c>
      <c r="E52" s="7" t="s">
        <v>153</v>
      </c>
      <c r="F52" t="s">
        <v>13</v>
      </c>
      <c r="I52" t="s">
        <v>155</v>
      </c>
    </row>
    <row r="53" spans="1:9" ht="14.4" customHeight="1" x14ac:dyDescent="0.3">
      <c r="A53">
        <v>45</v>
      </c>
      <c r="B53" t="s">
        <v>148</v>
      </c>
      <c r="C53" s="10">
        <v>46165.017361111109</v>
      </c>
      <c r="D53" s="11" t="s">
        <v>151</v>
      </c>
      <c r="E53" s="7" t="s">
        <v>153</v>
      </c>
      <c r="F53" t="s">
        <v>13</v>
      </c>
      <c r="I53" t="s">
        <v>155</v>
      </c>
    </row>
    <row r="54" spans="1:9" ht="14.4" customHeight="1" x14ac:dyDescent="0.3">
      <c r="A54">
        <v>46</v>
      </c>
      <c r="B54" t="s">
        <v>148</v>
      </c>
      <c r="C54" s="10">
        <v>46165.017361111109</v>
      </c>
      <c r="D54" s="11" t="s">
        <v>151</v>
      </c>
      <c r="E54" s="7" t="s">
        <v>153</v>
      </c>
      <c r="F54" t="s">
        <v>13</v>
      </c>
      <c r="I54" t="s">
        <v>155</v>
      </c>
    </row>
    <row r="55" spans="1:9" ht="14.4" customHeight="1" x14ac:dyDescent="0.3">
      <c r="A55">
        <v>47</v>
      </c>
      <c r="B55" t="s">
        <v>148</v>
      </c>
      <c r="C55" s="10">
        <v>46165.017361111109</v>
      </c>
      <c r="D55" s="11" t="s">
        <v>151</v>
      </c>
      <c r="E55" s="7" t="s">
        <v>153</v>
      </c>
      <c r="F55" t="s">
        <v>13</v>
      </c>
      <c r="I55" t="s">
        <v>155</v>
      </c>
    </row>
    <row r="56" spans="1:9" ht="14.4" customHeight="1" x14ac:dyDescent="0.3">
      <c r="A56">
        <v>48</v>
      </c>
      <c r="B56" t="s">
        <v>148</v>
      </c>
      <c r="C56" s="10">
        <v>46165.017361111109</v>
      </c>
      <c r="D56" s="11" t="s">
        <v>151</v>
      </c>
      <c r="E56" s="7" t="s">
        <v>153</v>
      </c>
      <c r="F56" t="s">
        <v>13</v>
      </c>
      <c r="I56" t="s">
        <v>155</v>
      </c>
    </row>
    <row r="57" spans="1:9" ht="14.4" customHeight="1" x14ac:dyDescent="0.3">
      <c r="A57">
        <v>49</v>
      </c>
      <c r="B57" t="s">
        <v>148</v>
      </c>
      <c r="C57" s="10">
        <v>46165.017361111109</v>
      </c>
      <c r="D57" s="11" t="s">
        <v>151</v>
      </c>
      <c r="E57" s="7" t="s">
        <v>153</v>
      </c>
      <c r="F57" t="s">
        <v>13</v>
      </c>
      <c r="I57" t="s">
        <v>155</v>
      </c>
    </row>
    <row r="58" spans="1:9" ht="14.4" customHeight="1" x14ac:dyDescent="0.3">
      <c r="A58">
        <v>50</v>
      </c>
      <c r="B58" t="s">
        <v>148</v>
      </c>
      <c r="C58" s="10">
        <v>46165.017361111109</v>
      </c>
      <c r="D58" s="11" t="s">
        <v>151</v>
      </c>
      <c r="E58" s="7" t="s">
        <v>153</v>
      </c>
      <c r="F58" t="s">
        <v>13</v>
      </c>
      <c r="I58" t="s">
        <v>155</v>
      </c>
    </row>
    <row r="59" spans="1:9" ht="14.4" customHeight="1" x14ac:dyDescent="0.3">
      <c r="A59">
        <v>51</v>
      </c>
      <c r="B59" t="s">
        <v>148</v>
      </c>
      <c r="C59" s="10">
        <v>46165.017361111109</v>
      </c>
      <c r="D59" s="11" t="s">
        <v>151</v>
      </c>
      <c r="E59" s="7" t="s">
        <v>153</v>
      </c>
      <c r="F59" t="s">
        <v>13</v>
      </c>
      <c r="I59" t="s">
        <v>155</v>
      </c>
    </row>
    <row r="60" spans="1:9" x14ac:dyDescent="0.3">
      <c r="A60">
        <v>52</v>
      </c>
      <c r="B60" t="s">
        <v>156</v>
      </c>
      <c r="C60" t="s">
        <v>157</v>
      </c>
      <c r="D60" t="s">
        <v>158</v>
      </c>
      <c r="E60" t="s">
        <v>159</v>
      </c>
      <c r="F60" t="s">
        <v>13</v>
      </c>
      <c r="I60" t="s">
        <v>160</v>
      </c>
    </row>
  </sheetData>
  <phoneticPr fontId="3" type="noConversion"/>
  <dataValidations count="2">
    <dataValidation type="list" allowBlank="1" showInputMessage="1" showErrorMessage="1" sqref="F208:F303" xr:uid="{D1E0F792-6E12-4B8A-8F9C-407C0C0946D7}">
      <formula1>"À envoyer,En cours,Postulé,Refusé"</formula1>
    </dataValidation>
    <dataValidation type="list" allowBlank="1" showInputMessage="1" showErrorMessage="1" sqref="F9:F207" xr:uid="{B8D8C9B5-ECBD-4401-B383-348793B2F263}">
      <formula1>"À envoyer,En cours,Postulé,Refusé,Accepté"</formula1>
    </dataValidation>
  </dataValidations>
  <hyperlinks>
    <hyperlink ref="E10" r:id="rId1" xr:uid="{09867FDE-87D3-4FBC-B165-5C4DB849435F}"/>
    <hyperlink ref="E11" r:id="rId2" xr:uid="{61C61ED6-FCB2-4212-9D1D-ACFC5FCDAAF2}"/>
    <hyperlink ref="E15" r:id="rId3" xr:uid="{1214E363-1FA4-4C37-AF33-98685ECE622E}"/>
    <hyperlink ref="E16" r:id="rId4" xr:uid="{FBFD89BE-FD9E-4BFD-B463-2B86C689E617}"/>
    <hyperlink ref="E17" r:id="rId5" xr:uid="{4A939D84-AE20-4AAB-89B4-674D7E4B3F48}"/>
    <hyperlink ref="E18" r:id="rId6" xr:uid="{6B6A7493-6D98-4378-A30A-CBC5E120AAFF}"/>
    <hyperlink ref="E19" r:id="rId7" xr:uid="{CF9A7B15-53E9-4B4A-AF3A-43BC6523A1BC}"/>
    <hyperlink ref="E31" r:id="rId8" xr:uid="{09609F32-8002-4547-89B0-8BD9C03437A3}"/>
    <hyperlink ref="E32" r:id="rId9" xr:uid="{02477865-6178-4A86-ACF7-5F18BEEEC4F0}"/>
    <hyperlink ref="E33" r:id="rId10" xr:uid="{31990E5A-C2E9-4A9F-A9AE-800DF1EC8570}"/>
    <hyperlink ref="E34" r:id="rId11" xr:uid="{91F4C202-1460-40E9-990A-DC919FE47477}"/>
    <hyperlink ref="E37" r:id="rId12" display="https://valeo.wd3.myworkdayjobs.com/en-US/valeo_jobs/job/Crteil/Ingnieur-Intelligence-Artificielle--F-H-_REQ2025067509-1?q=data&amp;locationCountry=54c5b6971ffb4bf0b116fe7651ec789a&amp;timeType=56846bf75588100775e45cfb90100000&amp;workerSubType=1bc7ee912dc9100bd4a826d6e65d0001&amp;workerSubType=1bc7ee912dc9100bd4a8277106db0001" xr:uid="{0ED4CA9C-387E-4334-8992-03542455FDCE}"/>
    <hyperlink ref="E36" r:id="rId13" display="https://valeo.wd3.myworkdayjobs.com/en-US/valeo_jobs/job/Bobigny/Ingnieur-IA---Data-domaine-industriel--F-H-_REQ2026071912?q=data&amp;locationCountry=54c5b6971ffb4bf0b116fe7651ec789a&amp;timeType=56846bf75588100775e45cfb90100000&amp;workerSubType=1bc7ee912dc9100bd4a826d6e65d0001&amp;workerSubType=1bc7ee912dc9100bd4a8277106db0001" xr:uid="{F388E94B-2154-4305-9404-2ED64F5ACC74}"/>
    <hyperlink ref="E38" r:id="rId14" xr:uid="{AB5A4813-7A30-42EA-A282-41EB879922A4}"/>
    <hyperlink ref="E40" r:id="rId15" xr:uid="{70C5A224-EF90-48AD-ACCD-F21B4D6B2397}"/>
    <hyperlink ref="E41" r:id="rId16" xr:uid="{398916E2-98EF-415F-B633-0DFC22CD811F}"/>
    <hyperlink ref="E42" r:id="rId17" xr:uid="{4F514685-C70B-4E3C-8F95-685C47D66246}"/>
    <hyperlink ref="E43:E48" r:id="rId18" display="https://jobs.smartrecruiters.com/Wavestone1/744000109231595-data-analytics-ai-consultant-luxe-retail-hospitalite-services-cdi" xr:uid="{6C399F6C-75AB-4696-9E64-0363F18838DD}"/>
    <hyperlink ref="E49" r:id="rId19" xr:uid="{9A48DBF2-554E-4A2E-9CEB-F00DD9CB1CF4}"/>
    <hyperlink ref="E52" r:id="rId20" xr:uid="{7D752D8A-2859-408E-BC7F-7F140AE81D5C}"/>
    <hyperlink ref="E50:E51" r:id="rId21" display="https://jobs.smartrecruiters.com/Wavestone1/744000123735818-consultant%c2%b7e-ai-data-platform-jeune-diplome%c2%b7e-h-f" xr:uid="{418F17E0-2780-4245-980B-74D99137D6C1}"/>
    <hyperlink ref="E53:E59" r:id="rId22" display="https://jobs.smartrecruiters.com/Wavestone1/744000120709675-ai-engineer" xr:uid="{0EC1A1A0-77B1-4FDE-A550-4968D01669A2}"/>
  </hyperlinks>
  <pageMargins left="0.7" right="0.7" top="0.75" bottom="0.75" header="0.3" footer="0.3"/>
  <pageSetup paperSize="9" orientation="portrait" r:id="rId2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2026-05-27T10:27:40Z</dcterms:modified>
  <cp:category/>
  <cp:contentStatus/>
</cp:coreProperties>
</file>