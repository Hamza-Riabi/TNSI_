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66" documentId="11_F9C8E750BC5A4780F0AC0B6737F18CEE6FB2ED55" xr6:coauthVersionLast="47" xr6:coauthVersionMax="47" xr10:uidLastSave="{236661B6-D866-463D-8DA4-4E7885334413}"/>
  <bookViews>
    <workbookView xWindow="28680" yWindow="-120" windowWidth="29040" windowHeight="157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</calcChain>
</file>

<file path=xl/sharedStrings.xml><?xml version="1.0" encoding="utf-8"?>
<sst xmlns="http://schemas.openxmlformats.org/spreadsheetml/2006/main" count="28" uniqueCount="26">
  <si>
    <t>Accepté</t>
  </si>
  <si>
    <t>Refusé</t>
  </si>
  <si>
    <t>En attente</t>
  </si>
  <si>
    <t>Numéro de candidature</t>
  </si>
  <si>
    <t>Nom de l'entreprise</t>
  </si>
  <si>
    <t xml:space="preserve">Date de la candidature </t>
  </si>
  <si>
    <t xml:space="preserve">Nom du Poste </t>
  </si>
  <si>
    <t>URL offre</t>
  </si>
  <si>
    <t xml:space="preserve">Statut de la candidature </t>
  </si>
  <si>
    <t xml:space="preserve">Contact </t>
  </si>
  <si>
    <t>Date de relance</t>
  </si>
  <si>
    <t>Notes</t>
  </si>
  <si>
    <t>Postulé</t>
  </si>
  <si>
    <t>Crédit Mutuel Asset Management</t>
  </si>
  <si>
    <t>11/05/2026 23:55</t>
  </si>
  <si>
    <t>Data Analyst ESG</t>
  </si>
  <si>
    <t>https://fr.indeed.com/viewjob?jk=6c12cece766ae21a&amp;from=shareddesktop_copy</t>
  </si>
  <si>
    <t>cvhamzacréditmutuel</t>
  </si>
  <si>
    <t>https://jobs.lever.co/pigment/0aede960-d9cd-45c1-92e4-82e3cb3b2ae2</t>
  </si>
  <si>
    <t>Data Engineer (Growth Team)</t>
  </si>
  <si>
    <t>Pigment</t>
  </si>
  <si>
    <t>cv-hamza-pigment-2026-05-11</t>
  </si>
  <si>
    <t xml:space="preserve">Whub </t>
  </si>
  <si>
    <t>Data Analyst Anglais</t>
  </si>
  <si>
    <t>https://www.engagement-jeunes.com/fr/detail-offre/36682033/cdi-collective-work-data-analyst-anglais-h-f.html</t>
  </si>
  <si>
    <t>whub-2026-05-12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</si>
</sst>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4AAD"/>
      <name val="Montserrat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9DDFF"/>
        <bgColor rgb="FFB9DDFF"/>
      </patternFill>
    </fill>
  </fills>
  <borders count="3">
    <border>
      <left/>
      <right/>
      <top/>
      <bottom/>
      <diagonal/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  <diagonal/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/>
    <xf numFmtId="22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Dashboard</a:t>
            </a:r>
          </a:p>
          <a:p>
            <a:pPr>
              <a:defRPr/>
            </a:pPr>
            <a:endParaRPr lang="fr-FR"/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</c:v>
          </c:tx>
          <c:cat>
            <c:strRef>
              <c:f>Feuil1!$F$3:$F$5</c:f>
              <c:strCache>
                <c:ptCount val="3"/>
                <c:pt idx="0">
                  <c:v>Accepté</c:v>
                </c:pt>
                <c:pt idx="1">
                  <c:v>Refusé</c:v>
                </c:pt>
                <c:pt idx="2">
                  <c:v>En attente</c:v>
                </c:pt>
              </c:strCache>
            </c:strRef>
          </c:cat>
          <c:val>
            <c:numRef>
              <c:f>Feuil1!$E$3:$E$5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C4-4453-B707-790E2EBBB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239838952169815"/>
          <c:y val="0.31053901798860511"/>
          <c:w val="0.16252016631207078"/>
          <c:h val="0.40150504951146471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333333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1925292</xdr:colOff>
      <xdr:row>6</xdr:row>
      <xdr:rowOff>630224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CC66A4F-00E3-4E9C-806F-ABC3A86B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engagement-jeunes.com/fr/detail-offre/36682033/cdi-collective-work-data-analyst-anglais-h-f.html" TargetMode="External"/><Relationship Id="rId1" Type="http://schemas.openxmlformats.org/officeDocument/2006/relationships/hyperlink" Target="https://jobs.lever.co/pigment/0aede960-d9cd-45c1-92e4-82e3cb3b2a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31"/>
  <sheetViews>
    <sheetView tabSelected="1" zoomScaleNormal="100" workbookViewId="0">
      <selection activeCell="D16" sqref="D16"/>
    </sheetView>
  </sheetViews>
  <sheetFormatPr baseColWidth="10" defaultColWidth="8.88671875" defaultRowHeight="14.4" customHeight="1" x14ac:dyDescent="0.3"/>
  <cols>
    <col min="1" max="1" width="26.44140625" customWidth="1"/>
    <col min="2" max="2" width="37.109375" customWidth="1"/>
    <col min="3" max="3" width="37.6640625" customWidth="1"/>
    <col min="4" max="4" width="39" customWidth="1"/>
    <col min="5" max="5" width="65.33203125" customWidth="1"/>
    <col min="6" max="6" width="26.6640625" customWidth="1"/>
    <col min="7" max="7" width="18.44140625" customWidth="1"/>
    <col min="8" max="8" width="15.109375" customWidth="1"/>
    <col min="9" max="9" width="13.44140625" customWidth="1"/>
  </cols>
  <sheetData>
    <row r="3" spans="1:23" ht="14.4" customHeight="1" x14ac:dyDescent="0.3">
      <c r="E3" s="1">
        <f>COUNTIF($F$9:$F$1000,"Accepté")</f>
        <v>0</v>
      </c>
      <c r="F3" s="2" t="s">
        <v>0</v>
      </c>
    </row>
    <row r="4" spans="1:23" ht="14.4" customHeight="1" x14ac:dyDescent="0.3">
      <c r="E4" s="1">
        <f>COUNTIF($F$9:$F$1000,"Refusé")</f>
        <v>0</v>
      </c>
      <c r="F4" s="2" t="s">
        <v>1</v>
      </c>
    </row>
    <row r="5" spans="1:23" ht="14.4" customHeight="1" x14ac:dyDescent="0.3">
      <c r="E5" s="1">
        <f>COUNTIF($F$9:$F$1000,"En attente")</f>
        <v>0</v>
      </c>
      <c r="F5" s="2" t="s">
        <v>2</v>
      </c>
    </row>
    <row r="7" spans="1:23" ht="114.6" customHeight="1" x14ac:dyDescent="0.3"/>
    <row r="8" spans="1:23" ht="37.5" customHeight="1" x14ac:dyDescent="0.3">
      <c r="A8" s="3" t="s">
        <v>3</v>
      </c>
      <c r="B8" s="4" t="s">
        <v>4</v>
      </c>
      <c r="C8" s="5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5" t="s">
        <v>10</v>
      </c>
      <c r="I8" s="4" t="s">
        <v>11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3">
      <c r="A9">
        <v>1</v>
      </c>
      <c r="B9" t="s">
        <v>13</v>
      </c>
      <c r="C9" t="s">
        <v>14</v>
      </c>
      <c r="D9" t="s">
        <v>15</v>
      </c>
      <c r="E9" t="s">
        <v>16</v>
      </c>
      <c r="F9" t="s">
        <v>12</v>
      </c>
      <c r="I9" t="s">
        <v>17</v>
      </c>
    </row>
    <row r="10" spans="1:23" x14ac:dyDescent="0.3">
      <c r="A10">
        <v>2</v>
      </c>
      <c r="B10" t="s">
        <v>20</v>
      </c>
      <c r="C10" s="8">
        <v>46153.996527777781</v>
      </c>
      <c r="D10" t="s">
        <v>19</v>
      </c>
      <c r="E10" s="7" t="s">
        <v>18</v>
      </c>
      <c r="F10" t="s">
        <v>12</v>
      </c>
      <c r="I10" t="s">
        <v>21</v>
      </c>
    </row>
    <row r="11" spans="1:23" x14ac:dyDescent="0.3">
      <c r="A11">
        <v>3</v>
      </c>
      <c r="B11" t="s">
        <v>22</v>
      </c>
      <c r="C11" s="8">
        <v>46154.996527777781</v>
      </c>
      <c r="D11" t="s">
        <v>23</v>
      </c>
      <c r="E11" s="7" t="s">
        <v>24</v>
      </c>
      <c r="F11" t="s">
        <v>12</v>
      </c>
      <c r="I11" t="s">
        <v>25</v>
      </c>
    </row>
    <row r="12" spans="1:23" x14ac:dyDescent="0.3">
      <c r="C12" s="8"/>
    </row>
    <row r="13" spans="1:23" x14ac:dyDescent="0.3"/>
    <row r="14" spans="1:23" x14ac:dyDescent="0.3"/>
    <row r="15" spans="1:23" x14ac:dyDescent="0.3"/>
    <row r="16" spans="1:23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</sheetData>
  <dataValidations count="1">
    <dataValidation type="list" allowBlank="1" showInputMessage="1" showErrorMessage="1" sqref="F9:F118" xr:uid="{07886020-731C-44E1-A4AB-AA5E931AA25E}">
      <formula1>"En attente,Refusé,Accepté"</formula1>
    </dataValidation>
  </dataValidations>
  <hyperlinks>
    <hyperlink ref="E10" r:id="rId1" xr:uid="{05F98DD8-C552-4C77-BD3F-DFC7F15DFA9F}"/>
    <hyperlink ref="E11" r:id="rId2" xr:uid="{C7FA9DA9-6613-4EB7-9BFE-51E1B523AEC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2026-05-12T18:25:07Z</dcterms:modified>
  <cp:category/>
  <cp:contentStatus/>
</cp:coreProperties>
</file>